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lunac\Downloads\"/>
    </mc:Choice>
  </mc:AlternateContent>
  <bookViews>
    <workbookView xWindow="-120" yWindow="-120" windowWidth="29040" windowHeight="15720"/>
  </bookViews>
  <sheets>
    <sheet name="Indice Electrónico" sheetId="4" r:id="rId1"/>
  </sheets>
  <definedNames>
    <definedName name="CierreExp">'Indice Electrónico'!$A$52</definedName>
    <definedName name="CopiarFormula">'Indice Electrónico'!$F$14:$G$14</definedName>
    <definedName name="Fin">'Indice Electrónico'!$K$52</definedName>
    <definedName name="Inicio">'Indice Electrónico'!$C$52</definedName>
    <definedName name="RangoFormato">'Indice Electrónico'!$A$12:$K$12</definedName>
    <definedName name="RangoPegarFormato">'Indice Electrónico'!$A$52:$K$52</definedName>
    <definedName name="RangoPegarFormula">'Indice Electrónico'!$F$52:$G$52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1" i="4" l="1"/>
  <c r="G50" i="4"/>
  <c r="G49" i="4"/>
  <c r="G48" i="4"/>
  <c r="G47" i="4"/>
  <c r="G46" i="4"/>
  <c r="G45" i="4" l="1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</calcChain>
</file>

<file path=xl/sharedStrings.xml><?xml version="1.0" encoding="utf-8"?>
<sst xmlns="http://schemas.openxmlformats.org/spreadsheetml/2006/main" count="273" uniqueCount="110">
  <si>
    <t xml:space="preserve">ÍNDICE ELECTRÓNICO DEL EXPEDIENTE JUDICIAL </t>
  </si>
  <si>
    <t>Ciudad</t>
  </si>
  <si>
    <t>SANTIAGO DE CALI (VALLE)</t>
  </si>
  <si>
    <t>EXPEDIENTE FÍSICO</t>
  </si>
  <si>
    <t>Despacho Judicial</t>
  </si>
  <si>
    <t>JUZGADO DECIMO LABORALDEL  CIRCUITO DE CALI</t>
  </si>
  <si>
    <t>El expediente judicial posee documentos físicos:</t>
  </si>
  <si>
    <t>SI     NO X</t>
  </si>
  <si>
    <t>Serie o Subserie Documental</t>
  </si>
  <si>
    <t xml:space="preserve">ORDINARIO LABORAL DE PRIMERA INSTANCIA </t>
  </si>
  <si>
    <t>No. Radicación del Proceso</t>
  </si>
  <si>
    <t>No. de carpetas (cuadernos), legajos o tomos:</t>
  </si>
  <si>
    <r>
      <t>Partes Procesales (Parte A)</t>
    </r>
    <r>
      <rPr>
        <sz val="11"/>
        <rFont val="Calibri"/>
        <family val="2"/>
        <scheme val="minor"/>
      </rPr>
      <t xml:space="preserve">
(demandado, procesado, accionado)</t>
    </r>
  </si>
  <si>
    <t>No. de carpetas (cuadernos), legajos o tomos digitalizados:</t>
  </si>
  <si>
    <r>
      <t>Partes Procesales (Parte B)</t>
    </r>
    <r>
      <rPr>
        <sz val="11"/>
        <rFont val="Calibri"/>
        <family val="2"/>
        <scheme val="minor"/>
      </rPr>
      <t xml:space="preserve">
(demandante, denunciante, accionante)</t>
    </r>
  </si>
  <si>
    <t>Terceros Intervinientes</t>
  </si>
  <si>
    <t xml:space="preserve">Cuaderno </t>
  </si>
  <si>
    <t>Nombre Documento</t>
  </si>
  <si>
    <t>Fecha Creación Documento</t>
  </si>
  <si>
    <t>Fecha Incorporación Expediente</t>
  </si>
  <si>
    <t xml:space="preserve">Orden Documento </t>
  </si>
  <si>
    <t>Número Páginas</t>
  </si>
  <si>
    <t>Página Inicio</t>
  </si>
  <si>
    <t>Página 
Fin</t>
  </si>
  <si>
    <t>Formato</t>
  </si>
  <si>
    <t>Tamaño</t>
  </si>
  <si>
    <t>Origen</t>
  </si>
  <si>
    <t>Observaciones</t>
  </si>
  <si>
    <t>01ActaReparto</t>
  </si>
  <si>
    <t>5/03/2025 6:28 a. m.</t>
  </si>
  <si>
    <t>PDF</t>
  </si>
  <si>
    <t>ELECTRONICO</t>
  </si>
  <si>
    <t>06ConstanciaNotificacion</t>
  </si>
  <si>
    <t>83,7 KB</t>
  </si>
  <si>
    <t>CARPETA</t>
  </si>
  <si>
    <t>358 KB</t>
  </si>
  <si>
    <t>11,2 MB</t>
  </si>
  <si>
    <t>552 MB</t>
  </si>
  <si>
    <t>2,21 MB</t>
  </si>
  <si>
    <t>13,6 MB</t>
  </si>
  <si>
    <t>101 KB</t>
  </si>
  <si>
    <t>190 MB</t>
  </si>
  <si>
    <t>27,8 KB</t>
  </si>
  <si>
    <t>234 KB</t>
  </si>
  <si>
    <t>23,9 MB</t>
  </si>
  <si>
    <t>102 KB</t>
  </si>
  <si>
    <t>1,17 GB</t>
  </si>
  <si>
    <t>190 KB</t>
  </si>
  <si>
    <t>504 KB</t>
  </si>
  <si>
    <t>89,1 KB</t>
  </si>
  <si>
    <t>MP4</t>
  </si>
  <si>
    <t>139 MB</t>
  </si>
  <si>
    <t>32SustitucionPoder</t>
  </si>
  <si>
    <t>1,88 MB</t>
  </si>
  <si>
    <t>525 KB</t>
  </si>
  <si>
    <t>97,3 KB</t>
  </si>
  <si>
    <t>FECHA DE CIERRE DEL EXPEDIENTE:</t>
  </si>
  <si>
    <r>
      <rPr>
        <b/>
        <sz val="10"/>
        <color theme="1"/>
        <rFont val="Calibri"/>
        <family val="2"/>
        <scheme val="minor"/>
      </rPr>
      <t>Número de cuadernos del expediente</t>
    </r>
    <r>
      <rPr>
        <b/>
        <sz val="8"/>
        <color theme="1"/>
        <rFont val="Calibri"/>
        <family val="2"/>
        <scheme val="minor"/>
      </rPr>
      <t>.</t>
    </r>
    <r>
      <rPr>
        <sz val="8"/>
        <color theme="1"/>
        <rFont val="Calibri"/>
        <family val="2"/>
        <scheme val="minor"/>
      </rPr>
      <t xml:space="preserve">
(diligencie al momento de archivo definitivo)</t>
    </r>
  </si>
  <si>
    <t>76001310501020230040100</t>
  </si>
  <si>
    <t>02Caratula</t>
  </si>
  <si>
    <t>03DemandaPoder</t>
  </si>
  <si>
    <t>04Admite</t>
  </si>
  <si>
    <t>05NotificacionDemanda</t>
  </si>
  <si>
    <t>07NotificacionColpensiones</t>
  </si>
  <si>
    <t>08ContestoDemandaColp</t>
  </si>
  <si>
    <t>09ExpedienteAdministrativo</t>
  </si>
  <si>
    <t>10ContestoMinHacienda</t>
  </si>
  <si>
    <t>11ContestacionMinHaciendaAnexos</t>
  </si>
  <si>
    <t>12ContestacionLlamamientoGarantiaReconvencionPorvenir</t>
  </si>
  <si>
    <t>13CertificadoComiteConciliacionColpensiones</t>
  </si>
  <si>
    <t>14NotificacionAgencia</t>
  </si>
  <si>
    <t>15SustituColp</t>
  </si>
  <si>
    <t>16SolicitanCeleridad</t>
  </si>
  <si>
    <t>17AutoTieneContestadaAd iteLlamamiento</t>
  </si>
  <si>
    <t>18ContestacionDemandaReconvencion</t>
  </si>
  <si>
    <t>19NotificacionLlamamiento</t>
  </si>
  <si>
    <t>20AutoInadmiteContestacion</t>
  </si>
  <si>
    <t>21AutoNoContestacionFijaFecha</t>
  </si>
  <si>
    <t>22ConstanciaNotificacionMinisterioPublico</t>
  </si>
  <si>
    <t>23PoderAudiencia</t>
  </si>
  <si>
    <t>24PoderPorvenir</t>
  </si>
  <si>
    <t>25PoderSustitucion</t>
  </si>
  <si>
    <t>26ActaAudienciaInicial</t>
  </si>
  <si>
    <t>27VideoAudeinciaInicial</t>
  </si>
  <si>
    <t>28ConstanciaEnvioOficio</t>
  </si>
  <si>
    <t>29RespuestaRequerimientoColpensiones</t>
  </si>
  <si>
    <t>30CumplimientoRequerimientoColpensiones</t>
  </si>
  <si>
    <t>31PoderMinisterioHacienda</t>
  </si>
  <si>
    <t>33SustitucionPoderColpensiones</t>
  </si>
  <si>
    <t>34DocumentosPorvenir</t>
  </si>
  <si>
    <t>35ActaAudienciaAlegatos</t>
  </si>
  <si>
    <t>36VideoAudienciaAlegatos</t>
  </si>
  <si>
    <t>37Poder</t>
  </si>
  <si>
    <t>38PoderPorvenir</t>
  </si>
  <si>
    <t>39ActaAudienciaJuzgamiento</t>
  </si>
  <si>
    <t>40VideoAudienciaJuzgamiento</t>
  </si>
  <si>
    <t xml:space="preserve">ESPERANZA DEL PILAR GUERRERO NARANJO </t>
  </si>
  <si>
    <t>PORVENIR Y OTROS</t>
  </si>
  <si>
    <t>613 KB</t>
  </si>
  <si>
    <t>123 KB</t>
  </si>
  <si>
    <t>12,1 MB</t>
  </si>
  <si>
    <t>92,5 KB</t>
  </si>
  <si>
    <t>825 KB</t>
  </si>
  <si>
    <t>593 MB</t>
  </si>
  <si>
    <t>600 KB</t>
  </si>
  <si>
    <t>3,13 MB</t>
  </si>
  <si>
    <t xml:space="preserve">219 KB </t>
  </si>
  <si>
    <t>223 MB</t>
  </si>
  <si>
    <t>90,6 KB</t>
  </si>
  <si>
    <t>9 ELEMENTOS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</si>
</sst>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.5"/>
      <color theme="0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2F2F2"/>
        <bgColor rgb="FF000000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2" fillId="0" borderId="0" xfId="0" applyFont="1"/>
    <xf numFmtId="0" fontId="4" fillId="0" borderId="10" xfId="0" applyFont="1" applyBorder="1" applyAlignme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4" fillId="0" borderId="11" xfId="0" applyFont="1" applyBorder="1" applyAlignment="1" applyProtection="1">
      <alignment vertical="center"/>
      <protection locked="0"/>
    </xf>
    <xf numFmtId="0" fontId="6" fillId="0" borderId="11" xfId="0" applyFont="1" applyBorder="1" applyAlignment="1" applyProtection="1">
      <alignment vertical="center" wrapText="1"/>
      <protection locked="0"/>
    </xf>
    <xf numFmtId="0" fontId="6" fillId="0" borderId="12" xfId="0" applyFont="1" applyBorder="1" applyAlignment="1" applyProtection="1">
      <alignment vertical="center" wrapText="1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9" fillId="0" borderId="5" xfId="0" applyFont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6" fillId="2" borderId="1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 vertical="center" wrapText="1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6" fillId="0" borderId="21" xfId="0" applyFont="1" applyBorder="1" applyAlignment="1" applyProtection="1">
      <alignment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3" fontId="0" fillId="0" borderId="1" xfId="0" applyNumberFormat="1" applyBorder="1" applyAlignment="1" applyProtection="1">
      <alignment horizontal="justify" vertical="top" wrapText="1"/>
      <protection locked="0"/>
    </xf>
    <xf numFmtId="0" fontId="10" fillId="0" borderId="1" xfId="0" applyFont="1" applyBorder="1" applyAlignment="1" applyProtection="1">
      <alignment vertical="center" wrapText="1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49" fontId="6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1" xfId="0" applyNumberFormat="1" applyBorder="1" applyAlignment="1">
      <alignment wrapText="1"/>
    </xf>
    <xf numFmtId="0" fontId="0" fillId="0" borderId="1" xfId="0" applyBorder="1"/>
    <xf numFmtId="3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left" vertical="center"/>
    </xf>
    <xf numFmtId="14" fontId="13" fillId="3" borderId="4" xfId="0" applyNumberFormat="1" applyFont="1" applyFill="1" applyBorder="1" applyAlignment="1">
      <alignment horizontal="center" vertical="center"/>
    </xf>
    <xf numFmtId="0" fontId="7" fillId="0" borderId="0" xfId="0" applyFont="1" applyAlignment="1" applyProtection="1">
      <alignment horizontal="center" vertical="center"/>
      <protection locked="0"/>
    </xf>
    <xf numFmtId="49" fontId="0" fillId="0" borderId="8" xfId="0" applyNumberFormat="1" applyBorder="1" applyAlignment="1" applyProtection="1">
      <alignment horizontal="left" vertical="center" wrapText="1"/>
      <protection locked="0"/>
    </xf>
    <xf numFmtId="49" fontId="0" fillId="0" borderId="14" xfId="0" applyNumberFormat="1" applyBorder="1" applyAlignment="1" applyProtection="1">
      <alignment horizontal="left" vertical="center"/>
      <protection locked="0"/>
    </xf>
    <xf numFmtId="49" fontId="0" fillId="0" borderId="9" xfId="0" applyNumberFormat="1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vertical="center" wrapText="1"/>
      <protection locked="0"/>
    </xf>
    <xf numFmtId="0" fontId="0" fillId="0" borderId="14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0" fillId="0" borderId="8" xfId="0" applyBorder="1" applyAlignment="1" applyProtection="1">
      <alignment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19" xfId="0" applyFont="1" applyBorder="1" applyAlignment="1" applyProtection="1">
      <alignment horizontal="center" vertical="center"/>
      <protection locked="0"/>
    </xf>
    <xf numFmtId="0" fontId="2" fillId="0" borderId="20" xfId="0" applyFont="1" applyBorder="1" applyAlignment="1" applyProtection="1">
      <alignment horizontal="left" vertical="center" wrapText="1"/>
      <protection locked="0"/>
    </xf>
    <xf numFmtId="0" fontId="1" fillId="0" borderId="20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left" vertical="center" wrapText="1"/>
      <protection locked="0"/>
    </xf>
    <xf numFmtId="0" fontId="2" fillId="0" borderId="16" xfId="0" applyFont="1" applyBorder="1" applyAlignment="1" applyProtection="1">
      <alignment horizontal="left" vertical="center" wrapText="1"/>
      <protection locked="0"/>
    </xf>
    <xf numFmtId="0" fontId="2" fillId="0" borderId="17" xfId="0" applyFont="1" applyBorder="1" applyAlignment="1" applyProtection="1">
      <alignment horizontal="left" vertical="center" wrapText="1"/>
      <protection locked="0"/>
    </xf>
    <xf numFmtId="0" fontId="2" fillId="0" borderId="18" xfId="0" applyFont="1" applyBorder="1" applyAlignment="1" applyProtection="1">
      <alignment horizontal="left" vertical="center" wrapText="1"/>
      <protection locked="0"/>
    </xf>
    <xf numFmtId="0" fontId="2" fillId="0" borderId="15" xfId="0" applyFont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alignment horizontal="center" vertical="center" wrapText="1"/>
      <protection locked="0"/>
    </xf>
    <xf numFmtId="0" fontId="2" fillId="0" borderId="17" xfId="0" applyFont="1" applyBorder="1" applyAlignment="1" applyProtection="1">
      <alignment horizontal="center" vertical="center" wrapText="1"/>
      <protection locked="0"/>
    </xf>
    <xf numFmtId="0" fontId="2" fillId="0" borderId="18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center" wrapText="1"/>
      <protection locked="0"/>
    </xf>
    <xf numFmtId="0" fontId="2" fillId="0" borderId="4" xfId="0" applyFont="1" applyBorder="1" applyAlignment="1" applyProtection="1">
      <alignment horizontal="left" vertical="center" wrapText="1"/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14" fontId="13" fillId="3" borderId="2" xfId="0" applyNumberFormat="1" applyFont="1" applyFill="1" applyBorder="1" applyAlignment="1">
      <alignment horizontal="center" vertical="center"/>
    </xf>
    <xf numFmtId="14" fontId="13" fillId="3" borderId="3" xfId="0" applyNumberFormat="1" applyFont="1" applyFill="1" applyBorder="1" applyAlignment="1">
      <alignment horizontal="center" vertical="center"/>
    </xf>
    <xf numFmtId="14" fontId="13" fillId="3" borderId="4" xfId="0" applyNumberFormat="1" applyFont="1" applyFill="1" applyBorder="1" applyAlignment="1">
      <alignment horizontal="center" vertical="center"/>
    </xf>
    <xf numFmtId="0" fontId="0" fillId="0" borderId="12" xfId="0" applyBorder="1" applyAlignment="1" applyProtection="1">
      <alignment vertical="center"/>
      <protection locked="0"/>
    </xf>
    <xf numFmtId="0" fontId="0" fillId="0" borderId="6" xfId="0" applyBorder="1" applyAlignment="1" applyProtection="1">
      <alignment vertical="center"/>
      <protection locked="0"/>
    </xf>
    <xf numFmtId="0" fontId="0" fillId="0" borderId="13" xfId="0" applyBorder="1" applyAlignment="1" applyProtection="1">
      <alignment vertical="center"/>
      <protection locked="0"/>
    </xf>
    <xf numFmtId="0" fontId="0" fillId="0" borderId="7" xfId="0" applyBorder="1" applyAlignment="1" applyProtection="1">
      <alignment vertical="center"/>
      <protection locked="0"/>
    </xf>
    <xf numFmtId="0" fontId="0" fillId="0" borderId="8" xfId="0" applyBorder="1" applyAlignment="1" applyProtection="1">
      <alignment horizontal="justify" vertical="center" wrapText="1"/>
      <protection locked="0"/>
    </xf>
    <xf numFmtId="0" fontId="0" fillId="0" borderId="14" xfId="0" applyBorder="1" applyAlignment="1" applyProtection="1">
      <alignment horizontal="justify" vertical="center" wrapText="1"/>
      <protection locked="0"/>
    </xf>
    <xf numFmtId="0" fontId="0" fillId="0" borderId="9" xfId="0" applyBorder="1" applyAlignment="1" applyProtection="1">
      <alignment horizontal="justify" vertical="center" wrapText="1"/>
      <protection locked="0"/>
    </xf>
    <xf numFmtId="0" fontId="0" fillId="0" borderId="22" xfId="0" applyBorder="1" applyAlignment="1" applyProtection="1">
      <alignment vertical="center"/>
      <protection locked="0"/>
    </xf>
    <xf numFmtId="0" fontId="0" fillId="0" borderId="23" xfId="0" applyBorder="1" applyAlignment="1" applyProtection="1">
      <alignment vertical="center"/>
      <protection locked="0"/>
    </xf>
    <xf numFmtId="0" fontId="0" fillId="0" borderId="24" xfId="0" applyBorder="1" applyAlignment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CF4FA"/>
      <color rgb="FFE4EF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60613</xdr:colOff>
      <xdr:row>0</xdr:row>
      <xdr:rowOff>95249</xdr:rowOff>
    </xdr:from>
    <xdr:to>
      <xdr:col>0</xdr:col>
      <xdr:colOff>2026227</xdr:colOff>
      <xdr:row>0</xdr:row>
      <xdr:rowOff>718705</xdr:rowOff>
    </xdr:to>
    <xdr:pic>
      <xdr:nvPicPr>
        <xdr:cNvPr id="3" name="Imagen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613" y="95249"/>
          <a:ext cx="1965614" cy="623456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847725</xdr:colOff>
          <xdr:row>6</xdr:row>
          <xdr:rowOff>152400</xdr:rowOff>
        </xdr:from>
        <xdr:to>
          <xdr:col>10</xdr:col>
          <xdr:colOff>1066800</xdr:colOff>
          <xdr:row>6</xdr:row>
          <xdr:rowOff>400050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K53"/>
  <sheetViews>
    <sheetView showGridLines="0" tabSelected="1" topLeftCell="A4" zoomScale="85" zoomScaleNormal="85" zoomScaleSheetLayoutView="50" workbookViewId="0">
      <selection activeCell="A11" sqref="A11"/>
    </sheetView>
  </sheetViews>
  <sheetFormatPr baseColWidth="10" defaultColWidth="11.42578125" defaultRowHeight="12.75" x14ac:dyDescent="0.2"/>
  <cols>
    <col min="1" max="1" width="34.5703125" style="11" customWidth="1"/>
    <col min="2" max="2" width="14.28515625" style="11" customWidth="1"/>
    <col min="3" max="3" width="15" style="11" customWidth="1"/>
    <col min="4" max="4" width="11" style="11" customWidth="1"/>
    <col min="5" max="6" width="8.85546875" style="11" customWidth="1"/>
    <col min="7" max="7" width="9.5703125" style="11" customWidth="1"/>
    <col min="8" max="8" width="11.42578125" style="11" customWidth="1"/>
    <col min="9" max="9" width="12.5703125" style="11" customWidth="1"/>
    <col min="10" max="10" width="12.85546875" style="11" customWidth="1"/>
    <col min="11" max="11" width="30.5703125" style="11" customWidth="1"/>
    <col min="12" max="16384" width="11.42578125" style="1"/>
  </cols>
  <sheetData>
    <row r="1" spans="1:11" ht="68.25" customHeight="1" x14ac:dyDescent="0.2">
      <c r="A1" s="29" t="s">
        <v>0</v>
      </c>
      <c r="B1" s="29"/>
      <c r="C1" s="29"/>
      <c r="D1" s="29"/>
      <c r="E1" s="29"/>
      <c r="F1" s="29"/>
      <c r="G1" s="29"/>
      <c r="H1" s="29"/>
      <c r="I1" s="29"/>
      <c r="J1" s="29"/>
      <c r="K1" s="29"/>
    </row>
    <row r="2" spans="1:11" ht="20.25" customHeight="1" x14ac:dyDescent="0.2">
      <c r="A2" s="2" t="s">
        <v>1</v>
      </c>
      <c r="B2" s="57" t="s">
        <v>2</v>
      </c>
      <c r="C2" s="58"/>
      <c r="D2" s="58"/>
      <c r="E2" s="58"/>
      <c r="F2" s="59"/>
      <c r="G2" s="3"/>
      <c r="H2" s="37" t="s">
        <v>3</v>
      </c>
      <c r="I2" s="37"/>
      <c r="J2" s="37"/>
      <c r="K2" s="38"/>
    </row>
    <row r="3" spans="1:11" ht="20.25" customHeight="1" x14ac:dyDescent="0.2">
      <c r="A3" s="4" t="s">
        <v>4</v>
      </c>
      <c r="B3" s="36" t="s">
        <v>5</v>
      </c>
      <c r="C3" s="34"/>
      <c r="D3" s="34"/>
      <c r="E3" s="34"/>
      <c r="F3" s="35"/>
      <c r="G3" s="3"/>
      <c r="H3" s="41" t="s">
        <v>6</v>
      </c>
      <c r="I3" s="42"/>
      <c r="J3" s="45" t="s">
        <v>7</v>
      </c>
      <c r="K3" s="46"/>
    </row>
    <row r="4" spans="1:11" ht="29.25" customHeight="1" x14ac:dyDescent="0.2">
      <c r="A4" s="4" t="s">
        <v>8</v>
      </c>
      <c r="B4" s="60" t="s">
        <v>9</v>
      </c>
      <c r="C4" s="61"/>
      <c r="D4" s="61"/>
      <c r="E4" s="61"/>
      <c r="F4" s="62"/>
      <c r="G4" s="3"/>
      <c r="H4" s="43"/>
      <c r="I4" s="44"/>
      <c r="J4" s="47"/>
      <c r="K4" s="48"/>
    </row>
    <row r="5" spans="1:11" ht="25.5" customHeight="1" x14ac:dyDescent="0.2">
      <c r="A5" s="4" t="s">
        <v>10</v>
      </c>
      <c r="B5" s="30" t="s">
        <v>58</v>
      </c>
      <c r="C5" s="31"/>
      <c r="D5" s="31"/>
      <c r="E5" s="31"/>
      <c r="F5" s="32"/>
      <c r="G5" s="3"/>
      <c r="H5" s="49" t="s">
        <v>11</v>
      </c>
      <c r="I5" s="50"/>
      <c r="J5" s="51"/>
      <c r="K5" s="52"/>
    </row>
    <row r="6" spans="1:11" ht="29.25" customHeight="1" x14ac:dyDescent="0.2">
      <c r="A6" s="5" t="s">
        <v>12</v>
      </c>
      <c r="B6" s="33" t="s">
        <v>97</v>
      </c>
      <c r="C6" s="34"/>
      <c r="D6" s="34"/>
      <c r="E6" s="34"/>
      <c r="F6" s="35"/>
      <c r="G6" s="3"/>
      <c r="H6" s="49" t="s">
        <v>13</v>
      </c>
      <c r="I6" s="50"/>
      <c r="J6" s="51"/>
      <c r="K6" s="52"/>
    </row>
    <row r="7" spans="1:11" ht="36" customHeight="1" x14ac:dyDescent="0.2">
      <c r="A7" s="5" t="s">
        <v>14</v>
      </c>
      <c r="B7" s="36" t="s">
        <v>96</v>
      </c>
      <c r="C7" s="34"/>
      <c r="D7" s="34"/>
      <c r="E7" s="34"/>
      <c r="F7" s="35"/>
      <c r="G7" s="3"/>
      <c r="H7" s="39"/>
      <c r="I7" s="39"/>
      <c r="J7" s="40"/>
      <c r="K7" s="40"/>
    </row>
    <row r="8" spans="1:11" ht="23.25" customHeight="1" x14ac:dyDescent="0.2">
      <c r="A8" s="14" t="s">
        <v>15</v>
      </c>
      <c r="B8" s="63"/>
      <c r="C8" s="64"/>
      <c r="D8" s="64"/>
      <c r="E8" s="64"/>
      <c r="F8" s="65"/>
      <c r="G8" s="3"/>
      <c r="H8" s="12"/>
      <c r="I8" s="12"/>
      <c r="J8" s="13"/>
      <c r="K8" s="13"/>
    </row>
    <row r="9" spans="1:11" ht="24" customHeight="1" x14ac:dyDescent="0.2">
      <c r="A9" s="6" t="s">
        <v>16</v>
      </c>
      <c r="B9" s="56"/>
      <c r="C9" s="56"/>
      <c r="D9" s="56"/>
      <c r="E9" s="56"/>
      <c r="F9" s="56"/>
      <c r="G9" s="3"/>
      <c r="H9" s="12"/>
      <c r="I9" s="12"/>
      <c r="J9" s="13"/>
      <c r="K9" s="13"/>
    </row>
    <row r="10" spans="1:11" ht="15.75" customHeight="1" x14ac:dyDescent="0.2">
      <c r="A10" s="7"/>
      <c r="B10" s="7"/>
      <c r="C10" s="7"/>
      <c r="D10" s="7"/>
      <c r="E10" s="7"/>
      <c r="F10" s="7"/>
      <c r="G10" s="7"/>
      <c r="H10" s="8"/>
      <c r="I10" s="8"/>
      <c r="J10" s="7"/>
      <c r="K10" s="7"/>
    </row>
    <row r="11" spans="1:11" ht="48.75" customHeight="1" x14ac:dyDescent="0.2">
      <c r="A11" s="9" t="s">
        <v>17</v>
      </c>
      <c r="B11" s="10" t="s">
        <v>18</v>
      </c>
      <c r="C11" s="10" t="s">
        <v>19</v>
      </c>
      <c r="D11" s="9" t="s">
        <v>20</v>
      </c>
      <c r="E11" s="10" t="s">
        <v>21</v>
      </c>
      <c r="F11" s="10" t="s">
        <v>22</v>
      </c>
      <c r="G11" s="20" t="s">
        <v>23</v>
      </c>
      <c r="H11" s="10" t="s">
        <v>24</v>
      </c>
      <c r="I11" s="10" t="s">
        <v>25</v>
      </c>
      <c r="J11" s="9" t="s">
        <v>26</v>
      </c>
      <c r="K11" s="9" t="s">
        <v>27</v>
      </c>
    </row>
    <row r="12" spans="1:11" ht="32.25" customHeight="1" x14ac:dyDescent="0.25">
      <c r="A12" s="21" t="s">
        <v>28</v>
      </c>
      <c r="B12" s="22" t="s">
        <v>29</v>
      </c>
      <c r="C12" s="22" t="s">
        <v>29</v>
      </c>
      <c r="D12" s="25">
        <v>1</v>
      </c>
      <c r="E12" s="25">
        <v>2</v>
      </c>
      <c r="F12" s="26">
        <v>1</v>
      </c>
      <c r="G12" s="26">
        <f t="shared" ref="G12" si="0">+F12+E12-1</f>
        <v>2</v>
      </c>
      <c r="H12" s="25" t="s">
        <v>30</v>
      </c>
      <c r="I12" s="24" t="s">
        <v>98</v>
      </c>
      <c r="J12" s="25" t="s">
        <v>31</v>
      </c>
      <c r="K12" s="16"/>
    </row>
    <row r="13" spans="1:11" ht="23.45" customHeight="1" x14ac:dyDescent="0.25">
      <c r="A13" s="21" t="s">
        <v>59</v>
      </c>
      <c r="B13" s="22" t="s">
        <v>29</v>
      </c>
      <c r="C13" s="22" t="s">
        <v>29</v>
      </c>
      <c r="D13" s="25">
        <v>2</v>
      </c>
      <c r="E13" s="25">
        <v>1</v>
      </c>
      <c r="F13" s="26">
        <v>3</v>
      </c>
      <c r="G13" s="26">
        <f t="shared" ref="G13:G51" si="1">+F13+E13-1</f>
        <v>3</v>
      </c>
      <c r="H13" s="25" t="s">
        <v>30</v>
      </c>
      <c r="I13" s="24" t="s">
        <v>99</v>
      </c>
      <c r="J13" s="25" t="s">
        <v>31</v>
      </c>
      <c r="K13" s="16"/>
    </row>
    <row r="14" spans="1:11" ht="23.45" customHeight="1" x14ac:dyDescent="0.25">
      <c r="A14" s="21" t="s">
        <v>60</v>
      </c>
      <c r="B14" s="22" t="s">
        <v>29</v>
      </c>
      <c r="C14" s="22" t="s">
        <v>29</v>
      </c>
      <c r="D14" s="25">
        <v>3</v>
      </c>
      <c r="E14" s="25">
        <v>137</v>
      </c>
      <c r="F14" s="26">
        <v>4</v>
      </c>
      <c r="G14" s="26">
        <f>+F14+E14-1</f>
        <v>140</v>
      </c>
      <c r="H14" s="25" t="s">
        <v>30</v>
      </c>
      <c r="I14" s="24" t="s">
        <v>100</v>
      </c>
      <c r="J14" s="25" t="s">
        <v>31</v>
      </c>
      <c r="K14" s="18"/>
    </row>
    <row r="15" spans="1:11" ht="23.45" customHeight="1" x14ac:dyDescent="0.25">
      <c r="A15" s="21" t="s">
        <v>61</v>
      </c>
      <c r="B15" s="22" t="s">
        <v>29</v>
      </c>
      <c r="C15" s="22" t="s">
        <v>29</v>
      </c>
      <c r="D15" s="25">
        <v>4</v>
      </c>
      <c r="E15" s="25">
        <v>1</v>
      </c>
      <c r="F15" s="26">
        <v>141</v>
      </c>
      <c r="G15" s="26">
        <f>+F15+E15-1</f>
        <v>141</v>
      </c>
      <c r="H15" s="25" t="s">
        <v>30</v>
      </c>
      <c r="I15" s="24" t="s">
        <v>45</v>
      </c>
      <c r="J15" s="25" t="s">
        <v>31</v>
      </c>
      <c r="K15" s="18"/>
    </row>
    <row r="16" spans="1:11" ht="23.45" customHeight="1" x14ac:dyDescent="0.25">
      <c r="A16" s="21" t="s">
        <v>62</v>
      </c>
      <c r="B16" s="22" t="s">
        <v>29</v>
      </c>
      <c r="C16" s="22" t="s">
        <v>29</v>
      </c>
      <c r="D16" s="25">
        <v>5</v>
      </c>
      <c r="E16" s="25">
        <v>1</v>
      </c>
      <c r="F16" s="26">
        <v>142</v>
      </c>
      <c r="G16" s="26">
        <f>+F16+E16-1</f>
        <v>142</v>
      </c>
      <c r="H16" s="25" t="s">
        <v>30</v>
      </c>
      <c r="I16" s="24" t="s">
        <v>101</v>
      </c>
      <c r="J16" s="25" t="s">
        <v>31</v>
      </c>
      <c r="K16" s="18"/>
    </row>
    <row r="17" spans="1:11" ht="23.45" customHeight="1" x14ac:dyDescent="0.25">
      <c r="A17" s="21" t="s">
        <v>32</v>
      </c>
      <c r="B17" s="22" t="s">
        <v>29</v>
      </c>
      <c r="C17" s="22" t="s">
        <v>29</v>
      </c>
      <c r="D17" s="25">
        <v>6</v>
      </c>
      <c r="E17" s="25">
        <v>11</v>
      </c>
      <c r="F17" s="26">
        <v>143</v>
      </c>
      <c r="G17" s="26">
        <f t="shared" si="1"/>
        <v>153</v>
      </c>
      <c r="H17" s="25" t="s">
        <v>30</v>
      </c>
      <c r="I17" s="24" t="s">
        <v>102</v>
      </c>
      <c r="J17" s="25" t="s">
        <v>31</v>
      </c>
      <c r="K17" s="18"/>
    </row>
    <row r="18" spans="1:11" ht="23.45" customHeight="1" x14ac:dyDescent="0.25">
      <c r="A18" s="21" t="s">
        <v>63</v>
      </c>
      <c r="B18" s="22" t="s">
        <v>29</v>
      </c>
      <c r="C18" s="22" t="s">
        <v>29</v>
      </c>
      <c r="D18" s="25">
        <v>7</v>
      </c>
      <c r="E18" s="25">
        <v>4</v>
      </c>
      <c r="F18" s="26">
        <v>154</v>
      </c>
      <c r="G18" s="26">
        <f t="shared" si="1"/>
        <v>157</v>
      </c>
      <c r="H18" s="25" t="s">
        <v>30</v>
      </c>
      <c r="I18" s="24" t="s">
        <v>33</v>
      </c>
      <c r="J18" s="25" t="s">
        <v>31</v>
      </c>
      <c r="K18" s="18"/>
    </row>
    <row r="19" spans="1:11" ht="23.45" customHeight="1" x14ac:dyDescent="0.25">
      <c r="A19" s="21" t="s">
        <v>64</v>
      </c>
      <c r="B19" s="22" t="s">
        <v>29</v>
      </c>
      <c r="C19" s="22" t="s">
        <v>29</v>
      </c>
      <c r="D19" s="25">
        <v>8</v>
      </c>
      <c r="E19" s="25">
        <v>53</v>
      </c>
      <c r="F19" s="26">
        <v>158</v>
      </c>
      <c r="G19" s="26">
        <f t="shared" si="1"/>
        <v>210</v>
      </c>
      <c r="H19" s="25" t="s">
        <v>30</v>
      </c>
      <c r="I19" s="24" t="s">
        <v>43</v>
      </c>
      <c r="J19" s="25" t="s">
        <v>31</v>
      </c>
      <c r="K19" s="18"/>
    </row>
    <row r="20" spans="1:11" ht="23.45" customHeight="1" x14ac:dyDescent="0.25">
      <c r="A20" s="21" t="s">
        <v>65</v>
      </c>
      <c r="B20" s="22" t="s">
        <v>29</v>
      </c>
      <c r="C20" s="22" t="s">
        <v>29</v>
      </c>
      <c r="D20" s="25">
        <v>9</v>
      </c>
      <c r="E20" s="25">
        <v>1</v>
      </c>
      <c r="F20" s="26">
        <v>211</v>
      </c>
      <c r="G20" s="26">
        <f t="shared" si="1"/>
        <v>211</v>
      </c>
      <c r="H20" s="25" t="s">
        <v>34</v>
      </c>
      <c r="I20" s="24" t="s">
        <v>109</v>
      </c>
      <c r="J20" s="25" t="s">
        <v>31</v>
      </c>
      <c r="K20" s="18"/>
    </row>
    <row r="21" spans="1:11" ht="23.45" customHeight="1" x14ac:dyDescent="0.25">
      <c r="A21" s="21" t="s">
        <v>66</v>
      </c>
      <c r="B21" s="22" t="s">
        <v>29</v>
      </c>
      <c r="C21" s="22" t="s">
        <v>29</v>
      </c>
      <c r="D21" s="25">
        <v>10</v>
      </c>
      <c r="E21" s="25">
        <v>24</v>
      </c>
      <c r="F21" s="26">
        <v>212</v>
      </c>
      <c r="G21" s="26">
        <f t="shared" si="1"/>
        <v>235</v>
      </c>
      <c r="H21" s="25" t="s">
        <v>30</v>
      </c>
      <c r="I21" s="24" t="s">
        <v>35</v>
      </c>
      <c r="J21" s="25" t="s">
        <v>31</v>
      </c>
      <c r="K21" s="18"/>
    </row>
    <row r="22" spans="1:11" ht="23.45" customHeight="1" x14ac:dyDescent="0.25">
      <c r="A22" s="21" t="s">
        <v>67</v>
      </c>
      <c r="B22" s="22" t="s">
        <v>29</v>
      </c>
      <c r="C22" s="22" t="s">
        <v>29</v>
      </c>
      <c r="D22" s="25">
        <v>11</v>
      </c>
      <c r="E22" s="25">
        <v>97</v>
      </c>
      <c r="F22" s="26">
        <v>236</v>
      </c>
      <c r="G22" s="26">
        <f t="shared" si="1"/>
        <v>332</v>
      </c>
      <c r="H22" s="25" t="s">
        <v>30</v>
      </c>
      <c r="I22" s="24" t="s">
        <v>45</v>
      </c>
      <c r="J22" s="25" t="s">
        <v>31</v>
      </c>
      <c r="K22" s="19"/>
    </row>
    <row r="23" spans="1:11" ht="23.45" customHeight="1" x14ac:dyDescent="0.25">
      <c r="A23" s="21" t="s">
        <v>68</v>
      </c>
      <c r="B23" s="22" t="s">
        <v>29</v>
      </c>
      <c r="C23" s="22" t="s">
        <v>29</v>
      </c>
      <c r="D23" s="25">
        <v>12</v>
      </c>
      <c r="E23" s="25">
        <v>239</v>
      </c>
      <c r="F23" s="26">
        <v>334</v>
      </c>
      <c r="G23" s="26">
        <f t="shared" si="1"/>
        <v>572</v>
      </c>
      <c r="H23" s="25" t="s">
        <v>30</v>
      </c>
      <c r="I23" s="24" t="s">
        <v>46</v>
      </c>
      <c r="J23" s="25" t="s">
        <v>31</v>
      </c>
      <c r="K23" s="19"/>
    </row>
    <row r="24" spans="1:11" ht="23.45" customHeight="1" x14ac:dyDescent="0.25">
      <c r="A24" s="21" t="s">
        <v>69</v>
      </c>
      <c r="B24" s="22" t="s">
        <v>29</v>
      </c>
      <c r="C24" s="22" t="s">
        <v>29</v>
      </c>
      <c r="D24" s="25">
        <v>13</v>
      </c>
      <c r="E24" s="25">
        <v>3</v>
      </c>
      <c r="F24" s="26">
        <v>573</v>
      </c>
      <c r="G24" s="26">
        <f t="shared" si="1"/>
        <v>575</v>
      </c>
      <c r="H24" s="25" t="s">
        <v>30</v>
      </c>
      <c r="I24" s="24" t="s">
        <v>47</v>
      </c>
      <c r="J24" s="25" t="s">
        <v>31</v>
      </c>
      <c r="K24" s="19"/>
    </row>
    <row r="25" spans="1:11" ht="23.45" customHeight="1" x14ac:dyDescent="0.25">
      <c r="A25" s="21" t="s">
        <v>70</v>
      </c>
      <c r="B25" s="22" t="s">
        <v>29</v>
      </c>
      <c r="C25" s="22" t="s">
        <v>29</v>
      </c>
      <c r="D25" s="25">
        <v>14</v>
      </c>
      <c r="E25" s="25">
        <v>2</v>
      </c>
      <c r="F25" s="26">
        <v>576</v>
      </c>
      <c r="G25" s="26">
        <f t="shared" si="1"/>
        <v>577</v>
      </c>
      <c r="H25" s="25" t="s">
        <v>30</v>
      </c>
      <c r="I25" s="24" t="s">
        <v>36</v>
      </c>
      <c r="J25" s="25" t="s">
        <v>31</v>
      </c>
      <c r="K25" s="19"/>
    </row>
    <row r="26" spans="1:11" ht="23.45" customHeight="1" x14ac:dyDescent="0.25">
      <c r="A26" s="21" t="s">
        <v>71</v>
      </c>
      <c r="B26" s="22" t="s">
        <v>29</v>
      </c>
      <c r="C26" s="22" t="s">
        <v>29</v>
      </c>
      <c r="D26" s="25">
        <v>15</v>
      </c>
      <c r="E26" s="25">
        <v>32</v>
      </c>
      <c r="F26" s="26">
        <v>578</v>
      </c>
      <c r="G26" s="26">
        <f t="shared" si="1"/>
        <v>609</v>
      </c>
      <c r="H26" s="25" t="s">
        <v>30</v>
      </c>
      <c r="I26" s="24" t="s">
        <v>48</v>
      </c>
      <c r="J26" s="25" t="s">
        <v>31</v>
      </c>
      <c r="K26" s="19"/>
    </row>
    <row r="27" spans="1:11" ht="23.45" customHeight="1" x14ac:dyDescent="0.25">
      <c r="A27" s="21" t="s">
        <v>72</v>
      </c>
      <c r="B27" s="22" t="s">
        <v>29</v>
      </c>
      <c r="C27" s="22" t="s">
        <v>29</v>
      </c>
      <c r="D27" s="25">
        <v>16</v>
      </c>
      <c r="E27" s="25">
        <v>3</v>
      </c>
      <c r="F27" s="26">
        <v>610</v>
      </c>
      <c r="G27" s="26">
        <f t="shared" si="1"/>
        <v>612</v>
      </c>
      <c r="H27" s="25" t="s">
        <v>30</v>
      </c>
      <c r="I27" s="24" t="s">
        <v>37</v>
      </c>
      <c r="J27" s="25" t="s">
        <v>31</v>
      </c>
      <c r="K27" s="19"/>
    </row>
    <row r="28" spans="1:11" ht="23.45" customHeight="1" x14ac:dyDescent="0.25">
      <c r="A28" s="21" t="s">
        <v>73</v>
      </c>
      <c r="B28" s="22" t="s">
        <v>29</v>
      </c>
      <c r="C28" s="22" t="s">
        <v>29</v>
      </c>
      <c r="D28" s="25">
        <v>17</v>
      </c>
      <c r="E28" s="25">
        <v>2</v>
      </c>
      <c r="F28" s="26">
        <v>613</v>
      </c>
      <c r="G28" s="26">
        <f t="shared" si="1"/>
        <v>614</v>
      </c>
      <c r="H28" s="25" t="s">
        <v>30</v>
      </c>
      <c r="I28" s="24" t="s">
        <v>38</v>
      </c>
      <c r="J28" s="25" t="s">
        <v>31</v>
      </c>
      <c r="K28" s="19"/>
    </row>
    <row r="29" spans="1:11" ht="23.45" customHeight="1" x14ac:dyDescent="0.25">
      <c r="A29" s="21" t="s">
        <v>74</v>
      </c>
      <c r="B29" s="22" t="s">
        <v>29</v>
      </c>
      <c r="C29" s="22" t="s">
        <v>29</v>
      </c>
      <c r="D29" s="25">
        <v>18</v>
      </c>
      <c r="E29" s="25">
        <v>10</v>
      </c>
      <c r="F29" s="26">
        <v>615</v>
      </c>
      <c r="G29" s="26">
        <f t="shared" si="1"/>
        <v>624</v>
      </c>
      <c r="H29" s="25" t="s">
        <v>30</v>
      </c>
      <c r="I29" s="24" t="s">
        <v>39</v>
      </c>
      <c r="J29" s="25" t="s">
        <v>31</v>
      </c>
      <c r="K29" s="19"/>
    </row>
    <row r="30" spans="1:11" ht="23.45" customHeight="1" x14ac:dyDescent="0.25">
      <c r="A30" s="21" t="s">
        <v>75</v>
      </c>
      <c r="B30" s="22" t="s">
        <v>29</v>
      </c>
      <c r="C30" s="22" t="s">
        <v>29</v>
      </c>
      <c r="D30" s="25">
        <v>19</v>
      </c>
      <c r="E30" s="25">
        <v>146</v>
      </c>
      <c r="F30" s="26">
        <v>625</v>
      </c>
      <c r="G30" s="26">
        <f t="shared" si="1"/>
        <v>770</v>
      </c>
      <c r="H30" s="25" t="s">
        <v>30</v>
      </c>
      <c r="I30" s="24" t="s">
        <v>40</v>
      </c>
      <c r="J30" s="25" t="s">
        <v>31</v>
      </c>
      <c r="K30" s="19"/>
    </row>
    <row r="31" spans="1:11" ht="23.45" customHeight="1" x14ac:dyDescent="0.25">
      <c r="A31" s="21" t="s">
        <v>76</v>
      </c>
      <c r="B31" s="22" t="s">
        <v>29</v>
      </c>
      <c r="C31" s="22" t="s">
        <v>29</v>
      </c>
      <c r="D31" s="25">
        <v>20</v>
      </c>
      <c r="E31" s="25">
        <v>2</v>
      </c>
      <c r="F31" s="26">
        <v>771</v>
      </c>
      <c r="G31" s="26">
        <f t="shared" si="1"/>
        <v>772</v>
      </c>
      <c r="H31" s="25" t="s">
        <v>30</v>
      </c>
      <c r="I31" s="24" t="s">
        <v>41</v>
      </c>
      <c r="J31" s="25" t="s">
        <v>31</v>
      </c>
      <c r="K31" s="19"/>
    </row>
    <row r="32" spans="1:11" ht="23.45" customHeight="1" x14ac:dyDescent="0.25">
      <c r="A32" s="21" t="s">
        <v>77</v>
      </c>
      <c r="B32" s="22" t="s">
        <v>29</v>
      </c>
      <c r="C32" s="22" t="s">
        <v>29</v>
      </c>
      <c r="D32" s="25">
        <v>21</v>
      </c>
      <c r="E32" s="25">
        <v>1</v>
      </c>
      <c r="F32" s="26">
        <v>773</v>
      </c>
      <c r="G32" s="26">
        <f t="shared" si="1"/>
        <v>773</v>
      </c>
      <c r="H32" s="25" t="s">
        <v>30</v>
      </c>
      <c r="I32" s="24" t="s">
        <v>42</v>
      </c>
      <c r="J32" s="25" t="s">
        <v>31</v>
      </c>
      <c r="K32" s="19"/>
    </row>
    <row r="33" spans="1:11" ht="23.45" customHeight="1" x14ac:dyDescent="0.25">
      <c r="A33" s="21" t="s">
        <v>78</v>
      </c>
      <c r="B33" s="22" t="s">
        <v>29</v>
      </c>
      <c r="C33" s="22" t="s">
        <v>29</v>
      </c>
      <c r="D33" s="25">
        <v>22</v>
      </c>
      <c r="E33" s="25">
        <v>2</v>
      </c>
      <c r="F33" s="26">
        <v>774</v>
      </c>
      <c r="G33" s="26">
        <f t="shared" si="1"/>
        <v>775</v>
      </c>
      <c r="H33" s="25" t="s">
        <v>30</v>
      </c>
      <c r="I33" s="24" t="s">
        <v>43</v>
      </c>
      <c r="J33" s="25" t="s">
        <v>31</v>
      </c>
      <c r="K33" s="19"/>
    </row>
    <row r="34" spans="1:11" ht="23.45" customHeight="1" x14ac:dyDescent="0.25">
      <c r="A34" s="21" t="s">
        <v>79</v>
      </c>
      <c r="B34" s="22" t="s">
        <v>29</v>
      </c>
      <c r="C34" s="22" t="s">
        <v>29</v>
      </c>
      <c r="D34" s="25">
        <v>23</v>
      </c>
      <c r="E34" s="25">
        <v>4</v>
      </c>
      <c r="F34" s="26">
        <v>776</v>
      </c>
      <c r="G34" s="26">
        <f t="shared" si="1"/>
        <v>779</v>
      </c>
      <c r="H34" s="25" t="s">
        <v>30</v>
      </c>
      <c r="I34" s="24" t="s">
        <v>44</v>
      </c>
      <c r="J34" s="25" t="s">
        <v>31</v>
      </c>
      <c r="K34" s="19"/>
    </row>
    <row r="35" spans="1:11" ht="23.45" customHeight="1" x14ac:dyDescent="0.25">
      <c r="A35" s="21" t="s">
        <v>80</v>
      </c>
      <c r="B35" s="22" t="s">
        <v>29</v>
      </c>
      <c r="C35" s="22" t="s">
        <v>29</v>
      </c>
      <c r="D35" s="25">
        <v>24</v>
      </c>
      <c r="E35" s="25">
        <v>55</v>
      </c>
      <c r="F35" s="26">
        <v>780</v>
      </c>
      <c r="G35" s="26">
        <f t="shared" si="1"/>
        <v>834</v>
      </c>
      <c r="H35" s="25" t="s">
        <v>30</v>
      </c>
      <c r="I35" s="24" t="s">
        <v>35</v>
      </c>
      <c r="J35" s="25" t="s">
        <v>31</v>
      </c>
      <c r="K35" s="19"/>
    </row>
    <row r="36" spans="1:11" ht="23.45" customHeight="1" x14ac:dyDescent="0.25">
      <c r="A36" s="21" t="s">
        <v>81</v>
      </c>
      <c r="B36" s="22" t="s">
        <v>29</v>
      </c>
      <c r="C36" s="22" t="s">
        <v>29</v>
      </c>
      <c r="D36" s="25">
        <v>25</v>
      </c>
      <c r="E36" s="25">
        <v>19</v>
      </c>
      <c r="F36" s="26">
        <v>835</v>
      </c>
      <c r="G36" s="26">
        <f t="shared" si="1"/>
        <v>853</v>
      </c>
      <c r="H36" s="25" t="s">
        <v>30</v>
      </c>
      <c r="I36" s="24" t="s">
        <v>45</v>
      </c>
      <c r="J36" s="25" t="s">
        <v>31</v>
      </c>
      <c r="K36" s="19"/>
    </row>
    <row r="37" spans="1:11" ht="23.45" customHeight="1" x14ac:dyDescent="0.25">
      <c r="A37" s="21" t="s">
        <v>82</v>
      </c>
      <c r="B37" s="22" t="s">
        <v>29</v>
      </c>
      <c r="C37" s="22" t="s">
        <v>29</v>
      </c>
      <c r="D37" s="25">
        <v>26</v>
      </c>
      <c r="E37" s="25">
        <v>2</v>
      </c>
      <c r="F37" s="26">
        <v>854</v>
      </c>
      <c r="G37" s="26">
        <f t="shared" si="1"/>
        <v>855</v>
      </c>
      <c r="H37" s="25" t="s">
        <v>30</v>
      </c>
      <c r="I37" s="24" t="s">
        <v>46</v>
      </c>
      <c r="J37" s="25" t="s">
        <v>31</v>
      </c>
      <c r="K37" s="19"/>
    </row>
    <row r="38" spans="1:11" ht="23.45" customHeight="1" x14ac:dyDescent="0.25">
      <c r="A38" s="21" t="s">
        <v>83</v>
      </c>
      <c r="B38" s="22" t="s">
        <v>29</v>
      </c>
      <c r="C38" s="22" t="s">
        <v>29</v>
      </c>
      <c r="D38" s="23">
        <v>27</v>
      </c>
      <c r="E38" s="25">
        <v>1</v>
      </c>
      <c r="F38" s="26">
        <v>856</v>
      </c>
      <c r="G38" s="26">
        <f t="shared" si="1"/>
        <v>856</v>
      </c>
      <c r="H38" s="25" t="s">
        <v>50</v>
      </c>
      <c r="I38" s="24" t="s">
        <v>47</v>
      </c>
      <c r="J38" s="25" t="s">
        <v>31</v>
      </c>
      <c r="K38" s="19"/>
    </row>
    <row r="39" spans="1:11" ht="23.45" customHeight="1" x14ac:dyDescent="0.25">
      <c r="A39" s="21" t="s">
        <v>84</v>
      </c>
      <c r="B39" s="22" t="s">
        <v>29</v>
      </c>
      <c r="C39" s="22" t="s">
        <v>29</v>
      </c>
      <c r="D39" s="23">
        <v>28</v>
      </c>
      <c r="E39" s="25">
        <v>4</v>
      </c>
      <c r="F39" s="26">
        <v>857</v>
      </c>
      <c r="G39" s="26">
        <f t="shared" si="1"/>
        <v>860</v>
      </c>
      <c r="H39" s="25" t="s">
        <v>30</v>
      </c>
      <c r="I39" s="24" t="s">
        <v>36</v>
      </c>
      <c r="J39" s="25" t="s">
        <v>31</v>
      </c>
      <c r="K39" s="19"/>
    </row>
    <row r="40" spans="1:11" ht="23.45" customHeight="1" x14ac:dyDescent="0.25">
      <c r="A40" s="21" t="s">
        <v>85</v>
      </c>
      <c r="B40" s="22" t="s">
        <v>29</v>
      </c>
      <c r="C40" s="22" t="s">
        <v>29</v>
      </c>
      <c r="D40" s="23">
        <v>29</v>
      </c>
      <c r="E40" s="25">
        <v>8</v>
      </c>
      <c r="F40" s="26">
        <v>861</v>
      </c>
      <c r="G40" s="26">
        <f t="shared" si="1"/>
        <v>868</v>
      </c>
      <c r="H40" s="25" t="s">
        <v>30</v>
      </c>
      <c r="I40" s="24" t="s">
        <v>48</v>
      </c>
      <c r="J40" s="25" t="s">
        <v>31</v>
      </c>
      <c r="K40" s="19"/>
    </row>
    <row r="41" spans="1:11" ht="23.45" customHeight="1" x14ac:dyDescent="0.25">
      <c r="A41" s="21" t="s">
        <v>86</v>
      </c>
      <c r="B41" s="22" t="s">
        <v>29</v>
      </c>
      <c r="C41" s="22" t="s">
        <v>29</v>
      </c>
      <c r="D41" s="23">
        <v>30</v>
      </c>
      <c r="E41" s="25">
        <v>283</v>
      </c>
      <c r="F41" s="26">
        <v>869</v>
      </c>
      <c r="G41" s="26">
        <f t="shared" si="1"/>
        <v>1151</v>
      </c>
      <c r="H41" s="25" t="s">
        <v>30</v>
      </c>
      <c r="I41" s="24" t="s">
        <v>49</v>
      </c>
      <c r="J41" s="25" t="s">
        <v>31</v>
      </c>
      <c r="K41" s="19"/>
    </row>
    <row r="42" spans="1:11" ht="23.45" customHeight="1" x14ac:dyDescent="0.25">
      <c r="A42" s="21" t="s">
        <v>87</v>
      </c>
      <c r="B42" s="22" t="s">
        <v>29</v>
      </c>
      <c r="C42" s="22" t="s">
        <v>29</v>
      </c>
      <c r="D42" s="23">
        <v>31</v>
      </c>
      <c r="E42" s="25">
        <v>14</v>
      </c>
      <c r="F42" s="26">
        <v>1152</v>
      </c>
      <c r="G42" s="26">
        <f t="shared" si="1"/>
        <v>1165</v>
      </c>
      <c r="H42" s="25" t="s">
        <v>30</v>
      </c>
      <c r="I42" s="24" t="s">
        <v>51</v>
      </c>
      <c r="J42" s="25" t="s">
        <v>31</v>
      </c>
      <c r="K42" s="19"/>
    </row>
    <row r="43" spans="1:11" ht="23.45" customHeight="1" x14ac:dyDescent="0.25">
      <c r="A43" s="21" t="s">
        <v>52</v>
      </c>
      <c r="B43" s="22" t="s">
        <v>29</v>
      </c>
      <c r="C43" s="22" t="s">
        <v>29</v>
      </c>
      <c r="D43" s="23">
        <v>32</v>
      </c>
      <c r="E43" s="25">
        <v>4</v>
      </c>
      <c r="F43" s="26">
        <v>1166</v>
      </c>
      <c r="G43" s="26">
        <f t="shared" si="1"/>
        <v>1169</v>
      </c>
      <c r="H43" s="25" t="s">
        <v>30</v>
      </c>
      <c r="I43" s="24" t="s">
        <v>53</v>
      </c>
      <c r="J43" s="25" t="s">
        <v>31</v>
      </c>
      <c r="K43" s="19"/>
    </row>
    <row r="44" spans="1:11" ht="23.45" customHeight="1" x14ac:dyDescent="0.25">
      <c r="A44" s="21" t="s">
        <v>88</v>
      </c>
      <c r="B44" s="22" t="s">
        <v>29</v>
      </c>
      <c r="C44" s="22" t="s">
        <v>29</v>
      </c>
      <c r="D44" s="23">
        <v>33</v>
      </c>
      <c r="E44" s="25">
        <v>8</v>
      </c>
      <c r="F44" s="26">
        <v>1170</v>
      </c>
      <c r="G44" s="26">
        <f t="shared" si="1"/>
        <v>1177</v>
      </c>
      <c r="H44" s="25" t="s">
        <v>30</v>
      </c>
      <c r="I44" s="24" t="s">
        <v>54</v>
      </c>
      <c r="J44" s="25" t="s">
        <v>31</v>
      </c>
      <c r="K44" s="19"/>
    </row>
    <row r="45" spans="1:11" ht="23.45" customHeight="1" x14ac:dyDescent="0.25">
      <c r="A45" s="21" t="s">
        <v>89</v>
      </c>
      <c r="B45" s="22" t="s">
        <v>29</v>
      </c>
      <c r="C45" s="22" t="s">
        <v>29</v>
      </c>
      <c r="D45" s="23">
        <v>34</v>
      </c>
      <c r="E45" s="25">
        <v>58</v>
      </c>
      <c r="F45" s="26">
        <v>1178</v>
      </c>
      <c r="G45" s="26">
        <f t="shared" si="1"/>
        <v>1235</v>
      </c>
      <c r="H45" s="25" t="s">
        <v>30</v>
      </c>
      <c r="I45" s="24" t="s">
        <v>55</v>
      </c>
      <c r="J45" s="25" t="s">
        <v>31</v>
      </c>
      <c r="K45" s="19"/>
    </row>
    <row r="46" spans="1:11" ht="23.45" customHeight="1" x14ac:dyDescent="0.25">
      <c r="A46" s="21" t="s">
        <v>90</v>
      </c>
      <c r="B46" s="22" t="s">
        <v>29</v>
      </c>
      <c r="C46" s="22" t="s">
        <v>29</v>
      </c>
      <c r="D46" s="23">
        <v>35</v>
      </c>
      <c r="E46" s="25">
        <v>1</v>
      </c>
      <c r="F46" s="26">
        <v>1236</v>
      </c>
      <c r="G46" s="26">
        <f t="shared" si="1"/>
        <v>1236</v>
      </c>
      <c r="H46" s="25" t="s">
        <v>30</v>
      </c>
      <c r="I46" s="24" t="s">
        <v>108</v>
      </c>
      <c r="J46" s="25" t="s">
        <v>31</v>
      </c>
      <c r="K46" s="19"/>
    </row>
    <row r="47" spans="1:11" ht="23.45" customHeight="1" x14ac:dyDescent="0.25">
      <c r="A47" s="21" t="s">
        <v>91</v>
      </c>
      <c r="B47" s="22" t="s">
        <v>29</v>
      </c>
      <c r="C47" s="22" t="s">
        <v>29</v>
      </c>
      <c r="D47" s="23">
        <v>36</v>
      </c>
      <c r="E47" s="25">
        <v>1</v>
      </c>
      <c r="F47" s="26">
        <v>1237</v>
      </c>
      <c r="G47" s="26">
        <f t="shared" si="1"/>
        <v>1237</v>
      </c>
      <c r="H47" s="25" t="s">
        <v>50</v>
      </c>
      <c r="I47" s="24" t="s">
        <v>107</v>
      </c>
      <c r="J47" s="25" t="s">
        <v>31</v>
      </c>
      <c r="K47" s="19"/>
    </row>
    <row r="48" spans="1:11" ht="23.45" customHeight="1" x14ac:dyDescent="0.25">
      <c r="A48" s="21" t="s">
        <v>92</v>
      </c>
      <c r="B48" s="22" t="s">
        <v>29</v>
      </c>
      <c r="C48" s="22" t="s">
        <v>29</v>
      </c>
      <c r="D48" s="23">
        <v>37</v>
      </c>
      <c r="E48" s="25">
        <v>4</v>
      </c>
      <c r="F48" s="26">
        <v>1238</v>
      </c>
      <c r="G48" s="26">
        <f t="shared" si="1"/>
        <v>1241</v>
      </c>
      <c r="H48" s="25" t="s">
        <v>30</v>
      </c>
      <c r="I48" s="24" t="s">
        <v>106</v>
      </c>
      <c r="J48" s="25" t="s">
        <v>31</v>
      </c>
      <c r="K48" s="19"/>
    </row>
    <row r="49" spans="1:11" ht="23.45" customHeight="1" x14ac:dyDescent="0.25">
      <c r="A49" s="21" t="s">
        <v>93</v>
      </c>
      <c r="B49" s="22" t="s">
        <v>29</v>
      </c>
      <c r="C49" s="22" t="s">
        <v>29</v>
      </c>
      <c r="D49" s="23">
        <v>38</v>
      </c>
      <c r="E49" s="25">
        <v>62</v>
      </c>
      <c r="F49" s="26">
        <v>1242</v>
      </c>
      <c r="G49" s="26">
        <f t="shared" si="1"/>
        <v>1303</v>
      </c>
      <c r="H49" s="25" t="s">
        <v>30</v>
      </c>
      <c r="I49" s="24" t="s">
        <v>105</v>
      </c>
      <c r="J49" s="25" t="s">
        <v>31</v>
      </c>
      <c r="K49" s="19"/>
    </row>
    <row r="50" spans="1:11" ht="23.45" customHeight="1" x14ac:dyDescent="0.25">
      <c r="A50" s="21" t="s">
        <v>94</v>
      </c>
      <c r="B50" s="22" t="s">
        <v>29</v>
      </c>
      <c r="C50" s="22" t="s">
        <v>29</v>
      </c>
      <c r="D50" s="23">
        <v>39</v>
      </c>
      <c r="E50" s="25">
        <v>19</v>
      </c>
      <c r="F50" s="26">
        <v>1304</v>
      </c>
      <c r="G50" s="26">
        <f t="shared" si="1"/>
        <v>1322</v>
      </c>
      <c r="H50" s="25" t="s">
        <v>30</v>
      </c>
      <c r="I50" s="24" t="s">
        <v>104</v>
      </c>
      <c r="J50" s="25" t="s">
        <v>31</v>
      </c>
      <c r="K50" s="19"/>
    </row>
    <row r="51" spans="1:11" ht="23.45" customHeight="1" x14ac:dyDescent="0.25">
      <c r="A51" s="21" t="s">
        <v>95</v>
      </c>
      <c r="B51" s="22" t="s">
        <v>29</v>
      </c>
      <c r="C51" s="22" t="s">
        <v>29</v>
      </c>
      <c r="D51" s="23">
        <v>40</v>
      </c>
      <c r="E51" s="25">
        <v>1</v>
      </c>
      <c r="F51" s="26">
        <v>1323</v>
      </c>
      <c r="G51" s="26">
        <f t="shared" si="1"/>
        <v>1323</v>
      </c>
      <c r="H51" s="25" t="s">
        <v>50</v>
      </c>
      <c r="I51" s="24" t="s">
        <v>103</v>
      </c>
      <c r="J51" s="25" t="s">
        <v>31</v>
      </c>
      <c r="K51" s="19"/>
    </row>
    <row r="52" spans="1:11" ht="18.75" customHeight="1" x14ac:dyDescent="0.2">
      <c r="A52" s="27" t="s">
        <v>56</v>
      </c>
      <c r="B52" s="28">
        <v>45891</v>
      </c>
      <c r="C52" s="53"/>
      <c r="D52" s="54"/>
      <c r="E52" s="54"/>
      <c r="F52" s="54"/>
      <c r="G52" s="54"/>
      <c r="H52" s="54"/>
      <c r="I52" s="54"/>
      <c r="J52" s="54"/>
      <c r="K52" s="55"/>
    </row>
    <row r="53" spans="1:11" ht="42.75" customHeight="1" x14ac:dyDescent="0.2">
      <c r="A53" s="17" t="s">
        <v>57</v>
      </c>
      <c r="B53" s="15">
        <v>1</v>
      </c>
    </row>
  </sheetData>
  <sheetProtection formatCells="0" formatColumns="0" formatRows="0" insertRows="0"/>
  <mergeCells count="19">
    <mergeCell ref="C52:K52"/>
    <mergeCell ref="B9:F9"/>
    <mergeCell ref="B2:F2"/>
    <mergeCell ref="B3:F3"/>
    <mergeCell ref="B4:F4"/>
    <mergeCell ref="B8:F8"/>
    <mergeCell ref="A1:K1"/>
    <mergeCell ref="B5:F5"/>
    <mergeCell ref="B6:F6"/>
    <mergeCell ref="B7:F7"/>
    <mergeCell ref="H2:K2"/>
    <mergeCell ref="H7:I7"/>
    <mergeCell ref="J7:K7"/>
    <mergeCell ref="H3:I4"/>
    <mergeCell ref="J3:K4"/>
    <mergeCell ref="H5:I5"/>
    <mergeCell ref="J5:K5"/>
    <mergeCell ref="H6:I6"/>
    <mergeCell ref="J6:K6"/>
  </mergeCells>
  <phoneticPr fontId="14" type="noConversion"/>
  <printOptions horizontalCentered="1"/>
  <pageMargins left="0.51181102362204722" right="0.51181102362204722" top="0.55118110236220474" bottom="0.74803149606299213" header="0.31496062992125984" footer="0.31496062992125984"/>
  <pageSetup scale="3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InsertarFila">
                <anchor moveWithCells="1">
                  <from>
                    <xdr:col>9</xdr:col>
                    <xdr:colOff>847725</xdr:colOff>
                    <xdr:row>6</xdr:row>
                    <xdr:rowOff>152400</xdr:rowOff>
                  </from>
                  <to>
                    <xdr:col>10</xdr:col>
                    <xdr:colOff>1066800</xdr:colOff>
                    <xdr:row>6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A9899DEC75C9A42955784FFFA7D7A18" ma:contentTypeVersion="13" ma:contentTypeDescription="Crear nuevo documento." ma:contentTypeScope="" ma:versionID="d053a44d0ffc2124b4ca96ca420ab9e4">
  <xsd:schema xmlns:xsd="http://www.w3.org/2001/XMLSchema" xmlns:xs="http://www.w3.org/2001/XMLSchema" xmlns:p="http://schemas.microsoft.com/office/2006/metadata/properties" xmlns:ns3="a0304e92-f03d-4f9c-9310-4ea4e4ae06bc" xmlns:ns4="49bcad33-afa9-440d-b010-e260e41c60b0" targetNamespace="http://schemas.microsoft.com/office/2006/metadata/properties" ma:root="true" ma:fieldsID="8b7b2584c7402d45a9ef075c2cf6f4d9" ns3:_="" ns4:_="">
    <xsd:import namespace="a0304e92-f03d-4f9c-9310-4ea4e4ae06bc"/>
    <xsd:import namespace="49bcad33-afa9-440d-b010-e260e41c60b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304e92-f03d-4f9c-9310-4ea4e4ae06b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bcad33-afa9-440d-b010-e260e41c60b0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A29971E-3226-48FB-ADB1-B0461876373A}">
  <ds:schemaRefs>
    <ds:schemaRef ds:uri="http://schemas.microsoft.com/office/2006/documentManagement/types"/>
    <ds:schemaRef ds:uri="a0304e92-f03d-4f9c-9310-4ea4e4ae06bc"/>
    <ds:schemaRef ds:uri="http://purl.org/dc/elements/1.1/"/>
    <ds:schemaRef ds:uri="http://schemas.microsoft.com/office/2006/metadata/properties"/>
    <ds:schemaRef ds:uri="49bcad33-afa9-440d-b010-e260e41c60b0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BF5D4BF-FABD-4D1F-8D4E-887DF20E545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0304e92-f03d-4f9c-9310-4ea4e4ae06bc"/>
    <ds:schemaRef ds:uri="49bcad33-afa9-440d-b010-e260e41c60b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BDE11B3-FC7F-47AB-AC9F-C9611F029A7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Indice Electrónico</vt:lpstr>
      <vt:lpstr>CierreExp</vt:lpstr>
      <vt:lpstr>CopiarFormula</vt:lpstr>
      <vt:lpstr>Fin</vt:lpstr>
      <vt:lpstr>Inicio</vt:lpstr>
      <vt:lpstr>RangoFormato</vt:lpstr>
      <vt:lpstr>RangoPegarFormato</vt:lpstr>
      <vt:lpstr>RangoPegarFormula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Ricardo Gordillo Blanco</dc:creator>
  <cp:keywords/>
  <dc:description/>
  <cp:lastModifiedBy>Maritza Luna Candelo</cp:lastModifiedBy>
  <cp:revision/>
  <cp:lastPrinted>2025-08-22T19:01:09Z</cp:lastPrinted>
  <dcterms:created xsi:type="dcterms:W3CDTF">2019-08-06T14:37:38Z</dcterms:created>
  <dcterms:modified xsi:type="dcterms:W3CDTF">2025-08-25T01:05:23Z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0x010100FA9899DEC75C9A42955784FFFA7D7A18</vt:lpwstr>
  </property>
</Properties>
</file>